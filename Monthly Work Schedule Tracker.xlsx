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SERA\Excel project\Employee-Schedule-Tracker-using-Excel\"/>
    </mc:Choice>
  </mc:AlternateContent>
  <xr:revisionPtr revIDLastSave="0" documentId="13_ncr:1_{3C7347A7-8986-4AFE-AC5F-3233E91A11CB}" xr6:coauthVersionLast="47" xr6:coauthVersionMax="47" xr10:uidLastSave="{00000000-0000-0000-0000-000000000000}"/>
  <bookViews>
    <workbookView xWindow="-110" yWindow="-110" windowWidth="19420" windowHeight="11020" xr2:uid="{8B0AA84D-48AC-41BB-AB53-2EF265E9E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3" i="1" l="1"/>
  <c r="AL15" i="1"/>
  <c r="AL16" i="1"/>
  <c r="AL17" i="1"/>
  <c r="AL12" i="1"/>
  <c r="AK13" i="1"/>
  <c r="AK14" i="1"/>
  <c r="AK15" i="1"/>
  <c r="AK16" i="1"/>
  <c r="AK17" i="1"/>
  <c r="AJ13" i="1"/>
  <c r="AJ14" i="1"/>
  <c r="AJ15" i="1"/>
  <c r="AJ16" i="1"/>
  <c r="AJ17" i="1"/>
  <c r="AK12" i="1"/>
  <c r="AJ12" i="1"/>
  <c r="AI13" i="1"/>
  <c r="AI14" i="1"/>
  <c r="AL14" i="1" s="1"/>
  <c r="AI15" i="1"/>
  <c r="AI16" i="1"/>
  <c r="AI17" i="1"/>
  <c r="AI12" i="1"/>
  <c r="D19" i="1" a="1"/>
  <c r="D19" i="1" s="1"/>
  <c r="E19" i="1" a="1"/>
  <c r="E19" i="1" s="1"/>
  <c r="F19" i="1" a="1"/>
  <c r="F19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/>
  <c r="P19" i="1" a="1"/>
  <c r="P19" i="1" s="1"/>
  <c r="Q19" i="1" a="1"/>
  <c r="Q19" i="1" s="1"/>
  <c r="R19" i="1" a="1"/>
  <c r="R19" i="1" s="1"/>
  <c r="S19" i="1" a="1"/>
  <c r="S19" i="1"/>
  <c r="T19" i="1" a="1"/>
  <c r="T19" i="1" s="1"/>
  <c r="U19" i="1" a="1"/>
  <c r="U19" i="1" s="1"/>
  <c r="V19" i="1" a="1"/>
  <c r="V19" i="1" s="1"/>
  <c r="W19" i="1" a="1"/>
  <c r="W19" i="1"/>
  <c r="X19" i="1" a="1"/>
  <c r="X19" i="1" s="1"/>
  <c r="Y19" i="1" a="1"/>
  <c r="Y19" i="1" s="1"/>
  <c r="Z19" i="1" a="1"/>
  <c r="Z19" i="1" s="1"/>
  <c r="AA19" i="1" a="1"/>
  <c r="AA19" i="1" s="1"/>
  <c r="AB19" i="1" a="1"/>
  <c r="AB19" i="1" s="1"/>
  <c r="AC19" i="1" a="1"/>
  <c r="AC19" i="1" s="1"/>
  <c r="AD19" i="1" a="1"/>
  <c r="AD19" i="1" s="1"/>
  <c r="AE19" i="1" a="1"/>
  <c r="AE19" i="1" s="1"/>
  <c r="AF19" i="1" a="1"/>
  <c r="AF19" i="1" s="1"/>
  <c r="AG19" i="1" a="1"/>
  <c r="AG19" i="1" s="1"/>
  <c r="C19" i="1" a="1"/>
  <c r="C19" i="1" s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C18" i="1"/>
  <c r="B2" i="1"/>
  <c r="C10" i="1" a="1"/>
  <c r="C10" i="1" l="1"/>
  <c r="C11" i="1" s="1"/>
  <c r="N11" i="1"/>
  <c r="G11" i="1"/>
  <c r="H11" i="1"/>
  <c r="P11" i="1"/>
  <c r="X11" i="1"/>
  <c r="AF11" i="1"/>
  <c r="E11" i="1"/>
  <c r="M11" i="1"/>
  <c r="U11" i="1"/>
  <c r="AC11" i="1"/>
  <c r="F11" i="1"/>
  <c r="V11" i="1"/>
  <c r="AD11" i="1"/>
  <c r="O11" i="1"/>
  <c r="W11" i="1"/>
  <c r="AE11" i="1"/>
  <c r="I11" i="1"/>
  <c r="Q11" i="1"/>
  <c r="Y11" i="1"/>
  <c r="AG11" i="1"/>
  <c r="K11" i="1"/>
  <c r="AA11" i="1"/>
  <c r="D11" i="1"/>
  <c r="L11" i="1"/>
  <c r="T11" i="1"/>
  <c r="AB11" i="1"/>
  <c r="S11" i="1"/>
  <c r="Z11" i="1"/>
  <c r="R11" i="1"/>
  <c r="J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<sst xmlns="http://schemas.openxmlformats.org/spreadsheetml/2006/main" count="141" uniqueCount="23">
  <si>
    <t>Start Date</t>
  </si>
  <si>
    <t xml:space="preserve">Shift </t>
  </si>
  <si>
    <t>Description</t>
  </si>
  <si>
    <t>M</t>
  </si>
  <si>
    <t>A</t>
  </si>
  <si>
    <t>N</t>
  </si>
  <si>
    <t>Morning (6am - 2pm)</t>
  </si>
  <si>
    <t>Afternoon (2pm - 10pm)</t>
  </si>
  <si>
    <t>Night (10pm - 6am)</t>
  </si>
  <si>
    <t>Employee Name</t>
  </si>
  <si>
    <t>James Miller</t>
  </si>
  <si>
    <t>Sarah Wilson</t>
  </si>
  <si>
    <t>Robert Taylor</t>
  </si>
  <si>
    <t>Emma Davis</t>
  </si>
  <si>
    <t>Michael Brown</t>
  </si>
  <si>
    <t>Olivia Smith</t>
  </si>
  <si>
    <t>Number of Shifts</t>
  </si>
  <si>
    <t>Shift Coverage Check</t>
  </si>
  <si>
    <t>Total Report</t>
  </si>
  <si>
    <t>Morning</t>
  </si>
  <si>
    <t>Afternoon</t>
  </si>
  <si>
    <t>Night</t>
  </si>
  <si>
    <t>Total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</si>
</sst>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0" borderId="0" xfId="0" applyFont="1"/>
    <xf numFmtId="0" fontId="7" fillId="4" borderId="0" xfId="0" applyFont="1" applyFill="1" applyAlignment="1">
      <alignment horizontal="center"/>
    </xf>
    <xf numFmtId="0" fontId="0" fillId="0" borderId="0" xfId="0" applyBorder="1"/>
    <xf numFmtId="0" fontId="10" fillId="0" borderId="0" xfId="0" applyFont="1" applyBorder="1" applyAlignment="1">
      <alignment vertical="center" wrapText="1" readingOrder="1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5" borderId="0" xfId="0" applyFont="1" applyFill="1"/>
    <xf numFmtId="171" fontId="1" fillId="5" borderId="0" xfId="0" applyNumberFormat="1" applyFont="1" applyFill="1" applyAlignment="1">
      <alignment horizontal="center"/>
    </xf>
    <xf numFmtId="0" fontId="2" fillId="6" borderId="0" xfId="0" applyFont="1" applyFill="1" applyBorder="1"/>
    <xf numFmtId="0" fontId="2" fillId="6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horizontal="center" vertical="center" wrapText="1" readingOrder="1"/>
    </xf>
    <xf numFmtId="0" fontId="8" fillId="0" borderId="0" xfId="0" applyFont="1" applyBorder="1" applyAlignment="1">
      <alignment horizontal="center" vertical="center" wrapText="1" readingOrder="1"/>
    </xf>
    <xf numFmtId="0" fontId="11" fillId="0" borderId="2" xfId="0" applyFont="1" applyFill="1" applyBorder="1" applyAlignment="1">
      <alignment vertical="center" wrapText="1" readingOrder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12" fillId="5" borderId="0" xfId="0" applyFont="1" applyFill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1"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theme="4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theme="4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0374-98D3-46A7-9B1F-66DE5CBA031D}">
  <dimension ref="B2:AL22"/>
  <sheetViews>
    <sheetView tabSelected="1" workbookViewId="0">
      <pane xSplit="2" topLeftCell="C1" activePane="topRight" state="frozen"/>
      <selection pane="topRight" activeCell="M6" sqref="M6"/>
    </sheetView>
  </sheetViews>
  <sheetFormatPr defaultRowHeight="14.5" x14ac:dyDescent="0.35"/>
  <cols>
    <col min="1" max="1" width="5.26953125" customWidth="1"/>
    <col min="2" max="2" width="15.08984375" customWidth="1"/>
    <col min="3" max="33" width="7.08984375" customWidth="1"/>
    <col min="36" max="36" width="9.36328125" bestFit="1" customWidth="1"/>
    <col min="38" max="38" width="10" bestFit="1" customWidth="1"/>
  </cols>
  <sheetData>
    <row r="2" spans="2:38" s="18" customFormat="1" ht="23.5" x14ac:dyDescent="0.55000000000000004">
      <c r="B2" s="28" t="str">
        <f>"MONTHLY WORK SCHEDULE " &amp; TEXT(B6,"mmmm yyy")</f>
        <v>MONTHLY WORK SCHEDULE February 2026</v>
      </c>
    </row>
    <row r="5" spans="2:38" x14ac:dyDescent="0.35">
      <c r="B5" s="16" t="s">
        <v>0</v>
      </c>
      <c r="D5" s="3" t="s">
        <v>1</v>
      </c>
      <c r="E5" s="2" t="s">
        <v>2</v>
      </c>
    </row>
    <row r="6" spans="2:38" x14ac:dyDescent="0.35">
      <c r="B6" s="17">
        <v>46054</v>
      </c>
      <c r="D6" s="5" t="s">
        <v>3</v>
      </c>
      <c r="E6" s="9" t="s">
        <v>6</v>
      </c>
      <c r="F6" s="4"/>
      <c r="G6" s="4"/>
    </row>
    <row r="7" spans="2:38" x14ac:dyDescent="0.35">
      <c r="D7" s="6" t="s">
        <v>4</v>
      </c>
      <c r="E7" s="10" t="s">
        <v>7</v>
      </c>
      <c r="F7" s="7"/>
      <c r="G7" s="7"/>
    </row>
    <row r="8" spans="2:38" x14ac:dyDescent="0.35">
      <c r="D8" s="13" t="s">
        <v>5</v>
      </c>
      <c r="E8" s="11" t="s">
        <v>8</v>
      </c>
      <c r="F8" s="8"/>
      <c r="G8" s="8"/>
    </row>
    <row r="9" spans="2:38" x14ac:dyDescent="0.35">
      <c r="E9" s="12"/>
    </row>
    <row r="10" spans="2:38" x14ac:dyDescent="0.35">
      <c r="B10" s="18"/>
      <c r="C10" s="19" cm="1">
        <f t="array" ref="C10:AD10">_xlfn.SEQUENCE(1,EOMONTH(B6,0)-B6+1,B6)</f>
        <v>46054</v>
      </c>
      <c r="D10" s="19">
        <v>46055</v>
      </c>
      <c r="E10" s="19">
        <v>46056</v>
      </c>
      <c r="F10" s="19">
        <v>46057</v>
      </c>
      <c r="G10" s="19">
        <v>46058</v>
      </c>
      <c r="H10" s="19">
        <v>46059</v>
      </c>
      <c r="I10" s="19">
        <v>46060</v>
      </c>
      <c r="J10" s="19">
        <v>46061</v>
      </c>
      <c r="K10" s="19">
        <v>46062</v>
      </c>
      <c r="L10" s="19">
        <v>46063</v>
      </c>
      <c r="M10" s="19">
        <v>46064</v>
      </c>
      <c r="N10" s="19">
        <v>46065</v>
      </c>
      <c r="O10" s="19">
        <v>46066</v>
      </c>
      <c r="P10" s="19">
        <v>46067</v>
      </c>
      <c r="Q10" s="19">
        <v>46068</v>
      </c>
      <c r="R10" s="19">
        <v>46069</v>
      </c>
      <c r="S10" s="19">
        <v>46070</v>
      </c>
      <c r="T10" s="19">
        <v>46071</v>
      </c>
      <c r="U10" s="19">
        <v>46072</v>
      </c>
      <c r="V10" s="19">
        <v>46073</v>
      </c>
      <c r="W10" s="19">
        <v>46074</v>
      </c>
      <c r="X10" s="19">
        <v>46075</v>
      </c>
      <c r="Y10" s="19">
        <v>46076</v>
      </c>
      <c r="Z10" s="19">
        <v>46077</v>
      </c>
      <c r="AA10" s="19">
        <v>46078</v>
      </c>
      <c r="AB10" s="19">
        <v>46079</v>
      </c>
      <c r="AC10" s="19">
        <v>46080</v>
      </c>
      <c r="AD10" s="19">
        <v>46081</v>
      </c>
      <c r="AE10" s="19"/>
      <c r="AF10" s="19"/>
      <c r="AG10" s="19"/>
      <c r="AI10" s="29" t="s">
        <v>18</v>
      </c>
      <c r="AJ10" s="29"/>
      <c r="AK10" s="29"/>
      <c r="AL10" s="29"/>
    </row>
    <row r="11" spans="2:38" x14ac:dyDescent="0.35">
      <c r="B11" s="20" t="s">
        <v>9</v>
      </c>
      <c r="C11" s="21" t="str">
        <f>TEXT(C10,"ddd")</f>
        <v>Sun</v>
      </c>
      <c r="D11" s="21" t="str">
        <f t="shared" ref="D11:AG11" si="0">TEXT(D10,"ddd")</f>
        <v>Mon</v>
      </c>
      <c r="E11" s="21" t="str">
        <f t="shared" si="0"/>
        <v>Tue</v>
      </c>
      <c r="F11" s="21" t="str">
        <f t="shared" si="0"/>
        <v>Wed</v>
      </c>
      <c r="G11" s="21" t="str">
        <f t="shared" si="0"/>
        <v>Thu</v>
      </c>
      <c r="H11" s="21" t="str">
        <f t="shared" si="0"/>
        <v>Fri</v>
      </c>
      <c r="I11" s="21" t="str">
        <f t="shared" si="0"/>
        <v>Sat</v>
      </c>
      <c r="J11" s="21" t="str">
        <f t="shared" si="0"/>
        <v>Sun</v>
      </c>
      <c r="K11" s="21" t="str">
        <f t="shared" si="0"/>
        <v>Mon</v>
      </c>
      <c r="L11" s="21" t="str">
        <f t="shared" si="0"/>
        <v>Tue</v>
      </c>
      <c r="M11" s="21" t="str">
        <f t="shared" si="0"/>
        <v>Wed</v>
      </c>
      <c r="N11" s="21" t="str">
        <f t="shared" si="0"/>
        <v>Thu</v>
      </c>
      <c r="O11" s="21" t="str">
        <f t="shared" si="0"/>
        <v>Fri</v>
      </c>
      <c r="P11" s="21" t="str">
        <f t="shared" si="0"/>
        <v>Sat</v>
      </c>
      <c r="Q11" s="21" t="str">
        <f t="shared" si="0"/>
        <v>Sun</v>
      </c>
      <c r="R11" s="21" t="str">
        <f t="shared" si="0"/>
        <v>Mon</v>
      </c>
      <c r="S11" s="21" t="str">
        <f t="shared" si="0"/>
        <v>Tue</v>
      </c>
      <c r="T11" s="21" t="str">
        <f t="shared" si="0"/>
        <v>Wed</v>
      </c>
      <c r="U11" s="21" t="str">
        <f t="shared" si="0"/>
        <v>Thu</v>
      </c>
      <c r="V11" s="21" t="str">
        <f t="shared" si="0"/>
        <v>Fri</v>
      </c>
      <c r="W11" s="21" t="str">
        <f t="shared" si="0"/>
        <v>Sat</v>
      </c>
      <c r="X11" s="21" t="str">
        <f t="shared" si="0"/>
        <v>Sun</v>
      </c>
      <c r="Y11" s="21" t="str">
        <f t="shared" si="0"/>
        <v>Mon</v>
      </c>
      <c r="Z11" s="21" t="str">
        <f t="shared" si="0"/>
        <v>Tue</v>
      </c>
      <c r="AA11" s="21" t="str">
        <f t="shared" si="0"/>
        <v>Wed</v>
      </c>
      <c r="AB11" s="21" t="str">
        <f t="shared" si="0"/>
        <v>Thu</v>
      </c>
      <c r="AC11" s="21" t="str">
        <f t="shared" si="0"/>
        <v>Fri</v>
      </c>
      <c r="AD11" s="21" t="str">
        <f t="shared" si="0"/>
        <v>Sat</v>
      </c>
      <c r="AE11" s="21" t="str">
        <f t="shared" si="0"/>
        <v>Sat</v>
      </c>
      <c r="AF11" s="21" t="str">
        <f t="shared" si="0"/>
        <v>Sat</v>
      </c>
      <c r="AG11" s="21" t="str">
        <f t="shared" si="0"/>
        <v>Sat</v>
      </c>
      <c r="AI11" s="21" t="s">
        <v>19</v>
      </c>
      <c r="AJ11" s="21" t="s">
        <v>20</v>
      </c>
      <c r="AK11" s="21" t="s">
        <v>21</v>
      </c>
      <c r="AL11" s="21" t="s">
        <v>22</v>
      </c>
    </row>
    <row r="12" spans="2:38" x14ac:dyDescent="0.35">
      <c r="B12" s="15" t="s">
        <v>10</v>
      </c>
      <c r="C12" s="1" t="s">
        <v>3</v>
      </c>
      <c r="D12" s="1" t="s">
        <v>3</v>
      </c>
      <c r="E12" s="1"/>
      <c r="F12" s="22"/>
      <c r="G12" s="1" t="s">
        <v>4</v>
      </c>
      <c r="H12" s="1" t="s">
        <v>4</v>
      </c>
      <c r="I12" s="1" t="s">
        <v>4</v>
      </c>
      <c r="J12" s="22" t="s">
        <v>4</v>
      </c>
      <c r="K12" s="1" t="s">
        <v>4</v>
      </c>
      <c r="L12" s="1"/>
      <c r="M12" s="1"/>
      <c r="N12" s="22" t="s">
        <v>3</v>
      </c>
      <c r="O12" s="22" t="s">
        <v>3</v>
      </c>
      <c r="P12" s="22"/>
      <c r="Q12" s="22" t="s">
        <v>3</v>
      </c>
      <c r="R12" s="22" t="s">
        <v>3</v>
      </c>
      <c r="S12" s="1"/>
      <c r="T12" s="1"/>
      <c r="U12" s="22" t="s">
        <v>3</v>
      </c>
      <c r="V12" s="22" t="s">
        <v>3</v>
      </c>
      <c r="W12" s="22" t="s">
        <v>3</v>
      </c>
      <c r="X12" s="22" t="s">
        <v>3</v>
      </c>
      <c r="Y12" s="22" t="s">
        <v>3</v>
      </c>
      <c r="Z12" s="1"/>
      <c r="AA12" s="1"/>
      <c r="AB12" s="22" t="s">
        <v>3</v>
      </c>
      <c r="AC12" s="1" t="s">
        <v>5</v>
      </c>
      <c r="AD12" s="1" t="s">
        <v>5</v>
      </c>
      <c r="AE12" s="22" t="s">
        <v>3</v>
      </c>
      <c r="AF12" s="22" t="s">
        <v>3</v>
      </c>
      <c r="AG12" s="1"/>
      <c r="AI12" s="1">
        <f>COUNTIF($C12:$AG12,"M")</f>
        <v>14</v>
      </c>
      <c r="AJ12" s="1">
        <f>COUNTIF($C12:$AG12,"A")</f>
        <v>5</v>
      </c>
      <c r="AK12" s="1">
        <f>COUNTIF($C12:$AG12,"N")</f>
        <v>2</v>
      </c>
      <c r="AL12" s="3">
        <f>SUM(AI12:AK12)</f>
        <v>21</v>
      </c>
    </row>
    <row r="13" spans="2:38" x14ac:dyDescent="0.35">
      <c r="B13" s="15" t="s">
        <v>11</v>
      </c>
      <c r="C13" s="1" t="s">
        <v>3</v>
      </c>
      <c r="D13" s="1" t="s">
        <v>3</v>
      </c>
      <c r="E13" s="1" t="s">
        <v>3</v>
      </c>
      <c r="F13" s="22"/>
      <c r="G13" s="22"/>
      <c r="H13" s="1" t="s">
        <v>4</v>
      </c>
      <c r="I13" s="1" t="s">
        <v>4</v>
      </c>
      <c r="J13" s="1" t="s">
        <v>4</v>
      </c>
      <c r="K13" s="22" t="s">
        <v>4</v>
      </c>
      <c r="L13" s="1" t="s">
        <v>4</v>
      </c>
      <c r="M13" s="1"/>
      <c r="N13" s="1"/>
      <c r="O13" s="1" t="s">
        <v>4</v>
      </c>
      <c r="P13" s="1" t="s">
        <v>4</v>
      </c>
      <c r="Q13" s="1"/>
      <c r="R13" s="22"/>
      <c r="S13" s="1"/>
      <c r="T13" s="1"/>
      <c r="U13" s="1"/>
      <c r="V13" s="1" t="s">
        <v>4</v>
      </c>
      <c r="W13" s="1" t="s">
        <v>4</v>
      </c>
      <c r="X13" s="1" t="s">
        <v>4</v>
      </c>
      <c r="Y13" s="22" t="s">
        <v>4</v>
      </c>
      <c r="Z13" s="1" t="s">
        <v>4</v>
      </c>
      <c r="AA13" s="1"/>
      <c r="AB13" s="1"/>
      <c r="AC13" s="1" t="s">
        <v>4</v>
      </c>
      <c r="AD13" s="1" t="s">
        <v>4</v>
      </c>
      <c r="AE13" s="1" t="s">
        <v>4</v>
      </c>
      <c r="AF13" s="22" t="s">
        <v>4</v>
      </c>
      <c r="AG13" s="1" t="s">
        <v>4</v>
      </c>
      <c r="AI13" s="1">
        <f t="shared" ref="AI13:AI17" si="1">COUNTIF($C13:$AG13,"M")</f>
        <v>3</v>
      </c>
      <c r="AJ13" s="1">
        <f t="shared" ref="AJ13:AJ17" si="2">COUNTIF($C13:$AG13,"A")</f>
        <v>17</v>
      </c>
      <c r="AK13" s="1">
        <f t="shared" ref="AK13:AK17" si="3">COUNTIF($C13:$AG13,"N")</f>
        <v>0</v>
      </c>
      <c r="AL13" s="3">
        <f t="shared" ref="AL13:AL17" si="4">SUM(AI13:AK13)</f>
        <v>20</v>
      </c>
    </row>
    <row r="14" spans="2:38" x14ac:dyDescent="0.35">
      <c r="B14" s="15" t="s">
        <v>12</v>
      </c>
      <c r="C14" s="1" t="s">
        <v>5</v>
      </c>
      <c r="D14" s="1" t="s">
        <v>5</v>
      </c>
      <c r="E14" s="1" t="s">
        <v>5</v>
      </c>
      <c r="F14" s="1" t="s">
        <v>5</v>
      </c>
      <c r="G14" s="22"/>
      <c r="H14" s="23"/>
      <c r="I14" s="1" t="s">
        <v>5</v>
      </c>
      <c r="J14" s="1" t="s">
        <v>5</v>
      </c>
      <c r="K14" s="1" t="s">
        <v>5</v>
      </c>
      <c r="L14" s="1"/>
      <c r="M14" s="1"/>
      <c r="N14" s="1"/>
      <c r="O14" s="1"/>
      <c r="P14" s="1"/>
      <c r="Q14" s="1"/>
      <c r="R14" s="1" t="s">
        <v>5</v>
      </c>
      <c r="S14" s="1" t="s">
        <v>5</v>
      </c>
      <c r="T14" s="1" t="s">
        <v>5</v>
      </c>
      <c r="U14" s="1"/>
      <c r="V14" s="1"/>
      <c r="W14" s="1" t="s">
        <v>5</v>
      </c>
      <c r="X14" s="1" t="s">
        <v>5</v>
      </c>
      <c r="Y14" s="1" t="s">
        <v>5</v>
      </c>
      <c r="Z14" s="1"/>
      <c r="AA14" s="1"/>
      <c r="AB14" s="1"/>
      <c r="AC14" s="1"/>
      <c r="AD14" s="1"/>
      <c r="AE14" s="1"/>
      <c r="AF14" s="1" t="s">
        <v>5</v>
      </c>
      <c r="AG14" s="1" t="s">
        <v>5</v>
      </c>
      <c r="AH14" s="1"/>
      <c r="AI14" s="1">
        <f t="shared" si="1"/>
        <v>0</v>
      </c>
      <c r="AJ14" s="1">
        <f t="shared" si="2"/>
        <v>0</v>
      </c>
      <c r="AK14" s="1">
        <f t="shared" si="3"/>
        <v>15</v>
      </c>
      <c r="AL14" s="3">
        <f t="shared" si="4"/>
        <v>15</v>
      </c>
    </row>
    <row r="15" spans="2:38" x14ac:dyDescent="0.35">
      <c r="B15" s="15" t="s">
        <v>13</v>
      </c>
      <c r="C15" s="1"/>
      <c r="D15" s="22" t="s">
        <v>3</v>
      </c>
      <c r="E15" s="22" t="s">
        <v>3</v>
      </c>
      <c r="F15" s="22" t="s">
        <v>3</v>
      </c>
      <c r="G15" s="22" t="s">
        <v>3</v>
      </c>
      <c r="H15" s="22" t="s">
        <v>3</v>
      </c>
      <c r="I15" s="23"/>
      <c r="J15" s="24"/>
      <c r="K15" s="22" t="s">
        <v>3</v>
      </c>
      <c r="L15" s="22" t="s">
        <v>3</v>
      </c>
      <c r="M15" s="22" t="s">
        <v>3</v>
      </c>
      <c r="N15" s="22" t="s">
        <v>3</v>
      </c>
      <c r="O15" s="22" t="s">
        <v>3</v>
      </c>
      <c r="P15" s="1"/>
      <c r="Q15" s="1"/>
      <c r="R15" s="22" t="s">
        <v>3</v>
      </c>
      <c r="S15" s="22" t="s">
        <v>3</v>
      </c>
      <c r="T15" s="22" t="s">
        <v>3</v>
      </c>
      <c r="U15" s="22" t="s">
        <v>3</v>
      </c>
      <c r="V15" s="22" t="s">
        <v>3</v>
      </c>
      <c r="W15" s="1"/>
      <c r="X15" s="1"/>
      <c r="Y15" s="22" t="s">
        <v>3</v>
      </c>
      <c r="Z15" s="22" t="s">
        <v>3</v>
      </c>
      <c r="AA15" s="22" t="s">
        <v>3</v>
      </c>
      <c r="AB15" s="22" t="s">
        <v>3</v>
      </c>
      <c r="AC15" s="22" t="s">
        <v>3</v>
      </c>
      <c r="AD15" s="1"/>
      <c r="AE15" s="1"/>
      <c r="AF15" s="22" t="s">
        <v>3</v>
      </c>
      <c r="AG15" s="22" t="s">
        <v>3</v>
      </c>
      <c r="AI15" s="1">
        <f t="shared" si="1"/>
        <v>22</v>
      </c>
      <c r="AJ15" s="1">
        <f t="shared" si="2"/>
        <v>0</v>
      </c>
      <c r="AK15" s="1">
        <f t="shared" si="3"/>
        <v>0</v>
      </c>
      <c r="AL15" s="3">
        <f t="shared" si="4"/>
        <v>22</v>
      </c>
    </row>
    <row r="16" spans="2:38" x14ac:dyDescent="0.35">
      <c r="B16" s="15" t="s">
        <v>14</v>
      </c>
      <c r="C16" s="1" t="s">
        <v>4</v>
      </c>
      <c r="D16" s="1"/>
      <c r="E16" s="1"/>
      <c r="F16" s="1" t="s">
        <v>4</v>
      </c>
      <c r="G16" s="1" t="s">
        <v>4</v>
      </c>
      <c r="H16" s="1" t="s">
        <v>4</v>
      </c>
      <c r="I16" s="1"/>
      <c r="J16" s="1"/>
      <c r="K16" s="22"/>
      <c r="L16" s="1"/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/>
      <c r="S16" s="1"/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/>
      <c r="Z16" s="1"/>
      <c r="AA16" s="1" t="s">
        <v>4</v>
      </c>
      <c r="AB16" s="1" t="s">
        <v>4</v>
      </c>
      <c r="AC16" s="1" t="s">
        <v>4</v>
      </c>
      <c r="AD16" s="1" t="s">
        <v>4</v>
      </c>
      <c r="AE16" s="1" t="s">
        <v>4</v>
      </c>
      <c r="AF16" s="1"/>
      <c r="AG16" s="1"/>
      <c r="AI16" s="1">
        <f t="shared" si="1"/>
        <v>0</v>
      </c>
      <c r="AJ16" s="1">
        <f t="shared" si="2"/>
        <v>19</v>
      </c>
      <c r="AK16" s="1">
        <f t="shared" si="3"/>
        <v>0</v>
      </c>
      <c r="AL16" s="3">
        <f t="shared" si="4"/>
        <v>19</v>
      </c>
    </row>
    <row r="17" spans="2:38" x14ac:dyDescent="0.35">
      <c r="B17" s="15" t="s">
        <v>15</v>
      </c>
      <c r="C17" s="1" t="s">
        <v>5</v>
      </c>
      <c r="D17" s="1" t="s">
        <v>5</v>
      </c>
      <c r="E17" s="1" t="s">
        <v>5</v>
      </c>
      <c r="F17" s="1" t="s">
        <v>5</v>
      </c>
      <c r="G17" s="1" t="s">
        <v>5</v>
      </c>
      <c r="H17" s="23"/>
      <c r="I17" s="23"/>
      <c r="J17" s="1"/>
      <c r="K17" s="1"/>
      <c r="L17" s="1" t="s">
        <v>4</v>
      </c>
      <c r="M17" s="1" t="s">
        <v>4</v>
      </c>
      <c r="N17" s="1" t="s">
        <v>4</v>
      </c>
      <c r="O17" s="1"/>
      <c r="P17" s="1"/>
      <c r="Q17" s="1" t="s">
        <v>5</v>
      </c>
      <c r="R17" s="1" t="s">
        <v>5</v>
      </c>
      <c r="S17" s="1" t="s">
        <v>5</v>
      </c>
      <c r="T17" s="1" t="s">
        <v>5</v>
      </c>
      <c r="U17" s="1" t="s">
        <v>5</v>
      </c>
      <c r="V17" s="1"/>
      <c r="W17" s="1"/>
      <c r="X17" s="1" t="s">
        <v>5</v>
      </c>
      <c r="Y17" s="1" t="s">
        <v>5</v>
      </c>
      <c r="Z17" s="1" t="s">
        <v>5</v>
      </c>
      <c r="AA17" s="1" t="s">
        <v>5</v>
      </c>
      <c r="AB17" s="1" t="s">
        <v>5</v>
      </c>
      <c r="AC17" s="1"/>
      <c r="AD17" s="1"/>
      <c r="AE17" s="1" t="s">
        <v>4</v>
      </c>
      <c r="AF17" s="1" t="s">
        <v>4</v>
      </c>
      <c r="AG17" s="1" t="s">
        <v>4</v>
      </c>
      <c r="AI17" s="1">
        <f t="shared" si="1"/>
        <v>0</v>
      </c>
      <c r="AJ17" s="1">
        <f t="shared" si="2"/>
        <v>6</v>
      </c>
      <c r="AK17" s="1">
        <f t="shared" si="3"/>
        <v>15</v>
      </c>
      <c r="AL17" s="3">
        <f t="shared" si="4"/>
        <v>21</v>
      </c>
    </row>
    <row r="18" spans="2:38" x14ac:dyDescent="0.35">
      <c r="B18" s="25" t="s">
        <v>16</v>
      </c>
      <c r="C18" s="26">
        <f>COUNTA(C12:C17)</f>
        <v>5</v>
      </c>
      <c r="D18" s="26">
        <f t="shared" ref="D18:AG18" si="5">COUNTA(D12:D17)</f>
        <v>5</v>
      </c>
      <c r="E18" s="26">
        <f t="shared" si="5"/>
        <v>4</v>
      </c>
      <c r="F18" s="26">
        <f t="shared" si="5"/>
        <v>4</v>
      </c>
      <c r="G18" s="26">
        <f t="shared" si="5"/>
        <v>4</v>
      </c>
      <c r="H18" s="26">
        <f t="shared" si="5"/>
        <v>4</v>
      </c>
      <c r="I18" s="26">
        <f t="shared" si="5"/>
        <v>3</v>
      </c>
      <c r="J18" s="26">
        <f t="shared" si="5"/>
        <v>3</v>
      </c>
      <c r="K18" s="26">
        <f t="shared" si="5"/>
        <v>4</v>
      </c>
      <c r="L18" s="26">
        <f t="shared" si="5"/>
        <v>3</v>
      </c>
      <c r="M18" s="26">
        <f t="shared" si="5"/>
        <v>3</v>
      </c>
      <c r="N18" s="26">
        <f t="shared" si="5"/>
        <v>4</v>
      </c>
      <c r="O18" s="26">
        <f t="shared" si="5"/>
        <v>4</v>
      </c>
      <c r="P18" s="26">
        <f t="shared" si="5"/>
        <v>2</v>
      </c>
      <c r="Q18" s="26">
        <f t="shared" si="5"/>
        <v>3</v>
      </c>
      <c r="R18" s="26">
        <f t="shared" si="5"/>
        <v>4</v>
      </c>
      <c r="S18" s="26">
        <f t="shared" si="5"/>
        <v>3</v>
      </c>
      <c r="T18" s="26">
        <f t="shared" si="5"/>
        <v>4</v>
      </c>
      <c r="U18" s="26">
        <f t="shared" si="5"/>
        <v>4</v>
      </c>
      <c r="V18" s="26">
        <f t="shared" si="5"/>
        <v>4</v>
      </c>
      <c r="W18" s="26">
        <f t="shared" si="5"/>
        <v>4</v>
      </c>
      <c r="X18" s="26">
        <f t="shared" si="5"/>
        <v>5</v>
      </c>
      <c r="Y18" s="26">
        <f t="shared" si="5"/>
        <v>5</v>
      </c>
      <c r="Z18" s="26">
        <f t="shared" si="5"/>
        <v>3</v>
      </c>
      <c r="AA18" s="26">
        <f t="shared" si="5"/>
        <v>3</v>
      </c>
      <c r="AB18" s="26">
        <f t="shared" si="5"/>
        <v>4</v>
      </c>
      <c r="AC18" s="26">
        <f t="shared" si="5"/>
        <v>4</v>
      </c>
      <c r="AD18" s="26">
        <f t="shared" si="5"/>
        <v>3</v>
      </c>
      <c r="AE18" s="26">
        <f t="shared" si="5"/>
        <v>4</v>
      </c>
      <c r="AF18" s="26">
        <f t="shared" si="5"/>
        <v>5</v>
      </c>
      <c r="AG18" s="26">
        <f t="shared" si="5"/>
        <v>4</v>
      </c>
    </row>
    <row r="19" spans="2:38" ht="29" x14ac:dyDescent="0.35">
      <c r="B19" s="25" t="s">
        <v>17</v>
      </c>
      <c r="C19" s="27" t="str" cm="1">
        <f t="array" ref="C19">IF(MIN(COUNTIF(C12:C17,{"M","A","N"}))=0, "Missing","")</f>
        <v/>
      </c>
      <c r="D19" s="27" t="str" cm="1">
        <f t="array" ref="D19">IF(MIN(COUNTIF(D12:D17,{"M","A","N"}))=0, "Missing","")</f>
        <v>Missing</v>
      </c>
      <c r="E19" s="27" t="str" cm="1">
        <f t="array" ref="E19">IF(MIN(COUNTIF(E12:E17,{"M","A","N"}))=0, "Missing","")</f>
        <v>Missing</v>
      </c>
      <c r="F19" s="27" t="str" cm="1">
        <f t="array" ref="F19">IF(MIN(COUNTIF(F12:F17,{"M","A","N"}))=0, "Missing","")</f>
        <v/>
      </c>
      <c r="G19" s="27" t="str" cm="1">
        <f t="array" ref="G19">IF(MIN(COUNTIF(G12:G17,{"M","A","N"}))=0, "Missing","")</f>
        <v/>
      </c>
      <c r="H19" s="27" t="str" cm="1">
        <f t="array" ref="H19">IF(MIN(COUNTIF(H12:H17,{"M","A","N"}))=0, "Missing","")</f>
        <v>Missing</v>
      </c>
      <c r="I19" s="27" t="str" cm="1">
        <f t="array" ref="I19">IF(MIN(COUNTIF(I12:I17,{"M","A","N"}))=0, "Missing","")</f>
        <v>Missing</v>
      </c>
      <c r="J19" s="27" t="str" cm="1">
        <f t="array" ref="J19">IF(MIN(COUNTIF(J12:J17,{"M","A","N"}))=0, "Missing","")</f>
        <v>Missing</v>
      </c>
      <c r="K19" s="27" t="str" cm="1">
        <f t="array" ref="K19">IF(MIN(COUNTIF(K12:K17,{"M","A","N"}))=0, "Missing","")</f>
        <v/>
      </c>
      <c r="L19" s="27" t="str" cm="1">
        <f t="array" ref="L19">IF(MIN(COUNTIF(L12:L17,{"M","A","N"}))=0, "Missing","")</f>
        <v>Missing</v>
      </c>
      <c r="M19" s="27" t="str" cm="1">
        <f t="array" ref="M19">IF(MIN(COUNTIF(M12:M17,{"M","A","N"}))=0, "Missing","")</f>
        <v>Missing</v>
      </c>
      <c r="N19" s="27" t="str" cm="1">
        <f t="array" ref="N19">IF(MIN(COUNTIF(N12:N17,{"M","A","N"}))=0, "Missing","")</f>
        <v>Missing</v>
      </c>
      <c r="O19" s="27" t="str" cm="1">
        <f t="array" ref="O19">IF(MIN(COUNTIF(O12:O17,{"M","A","N"}))=0, "Missing","")</f>
        <v>Missing</v>
      </c>
      <c r="P19" s="27" t="str" cm="1">
        <f t="array" ref="P19">IF(MIN(COUNTIF(P12:P17,{"M","A","N"}))=0, "Missing","")</f>
        <v>Missing</v>
      </c>
      <c r="Q19" s="27" t="str" cm="1">
        <f t="array" ref="Q19">IF(MIN(COUNTIF(Q12:Q17,{"M","A","N"}))=0, "Missing","")</f>
        <v/>
      </c>
      <c r="R19" s="27" t="str" cm="1">
        <f t="array" ref="R19">IF(MIN(COUNTIF(R12:R17,{"M","A","N"}))=0, "Missing","")</f>
        <v>Missing</v>
      </c>
      <c r="S19" s="27" t="str" cm="1">
        <f t="array" ref="S19">IF(MIN(COUNTIF(S12:S17,{"M","A","N"}))=0, "Missing","")</f>
        <v>Missing</v>
      </c>
      <c r="T19" s="27" t="str" cm="1">
        <f t="array" ref="T19">IF(MIN(COUNTIF(T12:T17,{"M","A","N"}))=0, "Missing","")</f>
        <v/>
      </c>
      <c r="U19" s="27" t="str" cm="1">
        <f t="array" ref="U19">IF(MIN(COUNTIF(U12:U17,{"M","A","N"}))=0, "Missing","")</f>
        <v/>
      </c>
      <c r="V19" s="27" t="str" cm="1">
        <f t="array" ref="V19">IF(MIN(COUNTIF(V12:V17,{"M","A","N"}))=0, "Missing","")</f>
        <v>Missing</v>
      </c>
      <c r="W19" s="27" t="str" cm="1">
        <f t="array" ref="W19">IF(MIN(COUNTIF(W12:W17,{"M","A","N"}))=0, "Missing","")</f>
        <v/>
      </c>
      <c r="X19" s="27" t="str" cm="1">
        <f t="array" ref="X19">IF(MIN(COUNTIF(X12:X17,{"M","A","N"}))=0, "Missing","")</f>
        <v/>
      </c>
      <c r="Y19" s="27" t="str" cm="1">
        <f t="array" ref="Y19">IF(MIN(COUNTIF(Y12:Y17,{"M","A","N"}))=0, "Missing","")</f>
        <v/>
      </c>
      <c r="Z19" s="27" t="str" cm="1">
        <f t="array" ref="Z19">IF(MIN(COUNTIF(Z12:Z17,{"M","A","N"}))=0, "Missing","")</f>
        <v/>
      </c>
      <c r="AA19" s="27" t="str" cm="1">
        <f t="array" ref="AA19">IF(MIN(COUNTIF(AA12:AA17,{"M","A","N"}))=0, "Missing","")</f>
        <v/>
      </c>
      <c r="AB19" s="27" t="str" cm="1">
        <f t="array" ref="AB19">IF(MIN(COUNTIF(AB12:AB17,{"M","A","N"}))=0, "Missing","")</f>
        <v/>
      </c>
      <c r="AC19" s="27" t="str" cm="1">
        <f t="array" ref="AC19">IF(MIN(COUNTIF(AC12:AC17,{"M","A","N"}))=0, "Missing","")</f>
        <v/>
      </c>
      <c r="AD19" s="27" t="str" cm="1">
        <f t="array" ref="AD19">IF(MIN(COUNTIF(AD12:AD17,{"M","A","N"}))=0, "Missing","")</f>
        <v>Missing</v>
      </c>
      <c r="AE19" s="27" t="str" cm="1">
        <f t="array" ref="AE19">IF(MIN(COUNTIF(AE12:AE17,{"M","A","N"}))=0, "Missing","")</f>
        <v>Missing</v>
      </c>
      <c r="AF19" s="27" t="str" cm="1">
        <f t="array" ref="AF19">IF(MIN(COUNTIF(AF12:AF17,{"M","A","N"}))=0, "Missing","")</f>
        <v/>
      </c>
      <c r="AG19" s="27" t="str" cm="1">
        <f t="array" ref="AG19">IF(MIN(COUNTIF(AG12:AG17,{"M","A","N"}))=0, "Missing","")</f>
        <v/>
      </c>
    </row>
    <row r="20" spans="2:38" x14ac:dyDescent="0.35">
      <c r="F20" s="14"/>
      <c r="G20" s="14"/>
      <c r="H20" s="14"/>
      <c r="I20" s="14"/>
      <c r="J20" s="14"/>
      <c r="K20" s="14"/>
    </row>
    <row r="21" spans="2:38" x14ac:dyDescent="0.35">
      <c r="F21" s="14"/>
      <c r="G21" s="14"/>
      <c r="H21" s="14"/>
      <c r="I21" s="14"/>
      <c r="J21" s="14"/>
      <c r="K21" s="14"/>
    </row>
    <row r="22" spans="2:38" x14ac:dyDescent="0.35">
      <c r="F22" s="14"/>
      <c r="G22" s="14"/>
      <c r="H22" s="14"/>
      <c r="I22" s="14"/>
      <c r="J22" s="14"/>
      <c r="K22" s="14"/>
    </row>
  </sheetData>
  <mergeCells count="1">
    <mergeCell ref="AI10:AL10"/>
  </mergeCells>
  <conditionalFormatting sqref="C14:AH14 C12:AG13 C15:AG17">
    <cfRule type="cellIs" dxfId="7" priority="6" operator="equal">
      <formula>"M"</formula>
    </cfRule>
    <cfRule type="cellIs" dxfId="6" priority="5" operator="equal">
      <formula>"A"</formula>
    </cfRule>
    <cfRule type="cellIs" dxfId="5" priority="3" operator="equal">
      <formula>"N"</formula>
    </cfRule>
  </conditionalFormatting>
  <conditionalFormatting sqref="AL12:AL1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{D1A40F48-B112-40B9-9049-DA9EC72E13AB}</x14:id>
        </ext>
      </extLst>
    </cfRule>
  </conditionalFormatting>
  <conditionalFormatting sqref="C10:AG19">
    <cfRule type="expression" dxfId="4" priority="1">
      <formula>C$10=TODAY()</formula>
    </cfRule>
  </conditionalFormatting>
  <dataValidations count="1">
    <dataValidation type="list" allowBlank="1" showInputMessage="1" showErrorMessage="1" sqref="AD14:AH14 AC13:AC15 AE16 AD15:AE15 C12:AB17 AC16:AD17 AF15:AG16 AC12:AD12 AE12:AG13 AD13 AE17:AG17" xr:uid="{14F67142-3E8E-491F-8248-511A1871E118}">
      <formula1>$D$6:$D$8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A40F48-B112-40B9-9049-DA9EC72E13A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AL12:AL17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Strawberry 🍓 🍓🍓</dc:creator>
  <cp:lastModifiedBy>Strawberry 🍓 🍓🍓</cp:lastModifiedBy>
  <dcterms:created xsi:type="dcterms:W3CDTF">2026-02-04T02:36:40Z</dcterms:created>
  <dcterms:modified xsi:type="dcterms:W3CDTF">2026-02-04T05:30:34Z</dcterms:modified>
</cp:coreProperties>
</file>